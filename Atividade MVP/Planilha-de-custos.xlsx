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3b6e2c9a0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" sheetId="1" r:id="R294b6493e2074021"/>
  </x:sheets>
</x:workbook>
</file>

<file path=xl/comments1.xml><?xml version="1.0" encoding="utf-8"?>
<x:comments xmlns:x="http://schemas.openxmlformats.org/spreadsheetml/2006/main">
  <x:authors>
    <x:author>tc={6CE5E89F-4E48-D886-69B2-F14B7FD94EC7}</x:author>
    <x:author>tc={7F85DE4D-646A-ED4E-30C5-1DB2164AA30D}</x:author>
    <x:author>tc={EBFD27E1-DF16-4990-79F5-469ABF2938F2}</x:author>
  </x:authors>
  <x:commentList>
    <x:comment ref="E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Preço estimado consultado em 26/08/2026. Confirmar no link antes da compra.</x:t>
        </x:r>
      </x:text>
    </x:comment>
    <x:comment ref="E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RoboCore, HC-SR04 anunciado por R$ 9,80 na consulta de 26/08/2026.</x:t>
        </x:r>
      </x:text>
    </x:comment>
    <x:comment ref="E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 subtotal usa apenas 0,25 kg; a fórmula multiplica o preço do rolo pela fração prevista.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4A2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4A4A4A"/>
      <x:name val="Carlito"/>
    </x:font>
    <x:font>
      <x:b/>
      <x:sz val="10"/>
      <x:color rgb="FFFFFFFF"/>
      <x:name val="Aptos"/>
    </x:font>
    <x:font>
      <x:i/>
      <x:sz val="10"/>
      <x:color rgb="FF5A4A22"/>
      <x:name val="Aptos"/>
    </x:font>
    <x:font>
      <x:sz val="10"/>
      <x:name val="Aptos"/>
    </x:font>
    <x:font>
      <x:b/>
      <x:sz val="10"/>
      <x:name val="Aptos"/>
    </x:font>
    <x:font>
      <x:sz val="10"/>
      <x:color rgb="FF4A4A4A"/>
      <x:name val="Aptos"/>
    </x:font>
    <x:font>
      <x:b/>
      <x:sz val="16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D4A017"/>
      </x:patternFill>
    </x:fill>
    <x:fill>
      <x:patternFill patternType="solid">
        <x:fgColor rgb="FFF2E8C9"/>
      </x:patternFill>
    </x:fill>
    <x:fill>
      <x:patternFill patternType="solid">
        <x:fgColor rgb="FF3E4A59"/>
      </x:patternFill>
    </x:fill>
    <x:fill>
      <x:patternFill patternType="solid">
        <x:fgColor rgb="FFFFF5CC"/>
      </x:patternFill>
    </x:fill>
    <x:fill>
      <x:patternFill patternType="solid">
        <x:fgColor rgb="FFEEF2F6"/>
      </x:patternFill>
    </x:fill>
    <x:fill>
      <x:patternFill patternType="solid">
        <x:fgColor rgb="FFE8F4EA"/>
      </x:patternFill>
    </x:fill>
    <x:fill>
      <x:patternFill patternType="solid">
        <x:fgColor rgb="FF5D6875"/>
      </x:patternFill>
    </x:fill>
    <x:fill>
      <x:patternFill patternType="solid">
        <x:fgColor rgb="FFF7F7F4"/>
      </x:patternFill>
    </x:fill>
  </x:fills>
  <x:borders count="7">
    <x:border/>
    <x:border>
      <x:left style="thin">
        <x:color rgb="FF3E4A59"/>
      </x:left>
      <x:top style="thin">
        <x:color rgb="FF3E4A59"/>
      </x:top>
      <x:bottom style="thin">
        <x:color rgb="FF3E4A59"/>
      </x:bottom>
    </x:border>
    <x:border>
      <x:top style="thin">
        <x:color rgb="FF3E4A59"/>
      </x:top>
      <x:bottom style="thin">
        <x:color rgb="FF3E4A59"/>
      </x:bottom>
    </x:border>
    <x:border>
      <x:right style="thin">
        <x:color rgb="FF3E4A59"/>
      </x:right>
      <x:top style="thin">
        <x:color rgb="FF3E4A59"/>
      </x:top>
      <x:bottom style="thin">
        <x:color rgb="FF3E4A59"/>
      </x:bottom>
    </x:border>
    <x:border>
      <x:bottom style="thin">
        <x:color rgb="FFE3E6E8"/>
      </x:bottom>
    </x:border>
    <x:border>
      <x:top style="thin">
        <x:color rgb="FFE3E6E8"/>
      </x:top>
      <x:bottom style="thin">
        <x:color rgb="FFE3E6E8"/>
      </x:bottom>
    </x:border>
    <x:border>
      <x:top style="thin">
        <x:color rgb="FFE3E6E8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/>
    <x:xf numFmtId="200" fontId="4" fillId="7" borderId="0" xfId="0" applyNumberFormat="1" applyFont="1" applyFill="1" applyBorder="1"/>
    <x:xf numFmtId="201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horizontal="right" vertical="top" wrapText="1"/>
    </x:xf>
    <x:xf numFmtId="200" fontId="0" fillId="0" borderId="4" xfId="0" applyNumberFormat="1" applyFont="1" applyFill="1" applyBorder="1" applyAlignment="1">
      <x:alignment horizontal="right" vertical="top" wrapText="1"/>
    </x:xf>
    <x:xf numFmtId="201" fontId="0" fillId="0" borderId="5" xfId="0" applyNumberFormat="1" applyFont="1" applyFill="1" applyBorder="1" applyAlignment="1">
      <x:alignment horizontal="right" vertical="top" wrapText="1"/>
    </x:xf>
    <x:xf numFmtId="200" fontId="0" fillId="0" borderId="5" xfId="0" applyNumberFormat="1" applyFont="1" applyFill="1" applyBorder="1" applyAlignment="1">
      <x:alignment horizontal="right" vertical="top" wrapText="1"/>
    </x:xf>
    <x:xf numFmtId="201" fontId="0" fillId="0" borderId="6" xfId="0" applyNumberFormat="1" applyFont="1" applyFill="1" applyBorder="1" applyAlignment="1">
      <x:alignment horizontal="right" vertical="top" wrapText="1"/>
    </x:xf>
    <x:xf numFmtId="200" fontId="0" fillId="0" borderId="6" xfId="0" applyNumberFormat="1" applyFont="1" applyFill="1" applyBorder="1" applyAlignment="1">
      <x:alignment horizontal="right"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6" fillId="4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0" fontId="8" fillId="6" borderId="0" xfId="0" applyNumberFormat="1" applyFont="1" applyFill="1" applyBorder="1"/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horizontal="right" vertical="top" wrapText="1"/>
    </x:xf>
    <x:xf numFmtId="200" fontId="8" fillId="0" borderId="4" xfId="0" applyNumberFormat="1" applyFont="1" applyFill="1" applyBorder="1" applyAlignment="1">
      <x:alignment horizontal="right" vertical="top" wrapText="1"/>
    </x:xf>
    <x:xf numFmtId="0" fontId="8" fillId="0" borderId="5" xfId="0" applyNumberFormat="1" applyFont="1" applyFill="1" applyBorder="1" applyAlignment="1">
      <x:alignment vertical="top" wrapText="1"/>
    </x:xf>
    <x:xf numFmtId="201" fontId="8" fillId="0" borderId="5" xfId="0" applyNumberFormat="1" applyFont="1" applyFill="1" applyBorder="1" applyAlignment="1">
      <x:alignment horizontal="right" vertical="top" wrapText="1"/>
    </x:xf>
    <x:xf numFmtId="200" fontId="8" fillId="0" borderId="5" xfId="0" applyNumberFormat="1" applyFont="1" applyFill="1" applyBorder="1" applyAlignment="1">
      <x:alignment horizontal="right" vertical="top" wrapText="1"/>
    </x:xf>
    <x:xf numFmtId="0" fontId="8" fillId="0" borderId="6" xfId="0" applyNumberFormat="1" applyFont="1" applyFill="1" applyBorder="1" applyAlignment="1">
      <x:alignment vertical="top" wrapText="1"/>
    </x:xf>
    <x:xf numFmtId="201" fontId="8" fillId="0" borderId="6" xfId="0" applyNumberFormat="1" applyFont="1" applyFill="1" applyBorder="1" applyAlignment="1">
      <x:alignment horizontal="right" vertical="top" wrapText="1"/>
    </x:xf>
    <x:xf numFmtId="200" fontId="8" fillId="0" borderId="6" xfId="0" applyNumberFormat="1" applyFont="1" applyFill="1" applyBorder="1" applyAlignment="1">
      <x:alignment horizontal="right" vertical="top" wrapText="1"/>
    </x:xf>
    <x:xf numFmtId="0" fontId="10" fillId="9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color rgb="FF8A5A00"/>
      </x:font>
      <x:fill>
        <x:patternFill patternType="solid">
          <x:bgColor rgb="FFFFF0CC"/>
        </x:patternFill>
      </x:fill>
    </x:dxf>
    <x:dxf>
      <x:font>
        <x:color rgb="FF176B2C"/>
      </x:font>
      <x:fill>
        <x:patternFill patternType="solid">
          <x:bgColor rgb="FFE3F3E6"/>
        </x:patternFill>
      </x:fill>
    </x:dxf>
    <x:dxf>
      <x:font>
        <x:color rgb="FF666666"/>
      </x:font>
      <x:fill>
        <x:patternFill patternType="solid">
          <x:bgColor rgb="FFE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90fafead54167" /><Relationship Type="http://schemas.openxmlformats.org/officeDocument/2006/relationships/theme" Target="/xl/theme/theme1.xml" Id="R6cbd104d7012441b" /><Relationship Type="http://schemas.openxmlformats.org/officeDocument/2006/relationships/sharedStrings" Target="/xl/sharedStrings.xml" Id="R04f999fae19841a0" /><Relationship Type="http://schemas.openxmlformats.org/officeDocument/2006/relationships/worksheet" Target="/xl/worksheets/sheet1.xml" Id="R294b6493e2074021" /><Relationship Type="http://schemas.microsoft.com/office/2017/10/relationships/person" Target="/xl/persons/person.xml" Id="R0cca639262fa4f87" /></Relationships>
</file>

<file path=xl/persons/person.xml><?xml version="1.0" encoding="utf-8"?>
<xltc:personList xmlns:xltc="http://schemas.microsoft.com/office/spreadsheetml/2018/threadedcomments">
  <xltc:person displayName="Julia Azevedo Lins" id="{1F91D893-AEDA-4BA2-A743-1D4C5D838D8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9" dT="2026-08-26T23:09:43.194" personId="{1F91D893-AEDA-4BA2-A743-1D4C5D838D8D}" id="{6CE5E89F-4E48-D886-69B2-F14B7FD94EC7}">
    <xltc:text>Preço estimado consultado em 26/08/2026. Confirmar no link antes da compra.</xltc:text>
  </xltc:threadedComment>
  <xltc:threadedComment ref="E11" dT="2026-08-26T23:09:43.195" personId="{1F91D893-AEDA-4BA2-A743-1D4C5D838D8D}" id="{7F85DE4D-646A-ED4E-30C5-1DB2164AA30D}">
    <xltc:text>Fonte: RoboCore, HC-SR04 anunciado por R$ 9,80 na consulta de 26/08/2026.</xltc:text>
  </xltc:threadedComment>
  <xltc:threadedComment ref="E18" dT="2026-08-26T23:09:43.195" personId="{1F91D893-AEDA-4BA2-A743-1D4C5D838D8D}" id="{EBFD27E1-DF16-4990-79F5-469ABF2938F2}">
    <xltc:text>O subtotal usa apenas 0,25 kg; a fórmula multiplica o preço do rolo pela fração prevista.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ce0e7758e884722" /><Relationship Type="http://schemas.openxmlformats.org/officeDocument/2006/relationships/vmlDrawing" Target="/xl/drawings/vmldrawing.vml" Id="Rf9fd4e2c5867401d" /><Relationship Type="http://schemas.microsoft.com/office/2017/10/relationships/threadedComment" Target="/xl/threadedcomments/threadedcomment.xml" Id="R0f45629ee47f46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7" hidden="0" customWidth="1"/>
    <x:col min="4" max="4" width="12" hidden="0" customWidth="1"/>
    <x:col min="5" max="5" width="15" hidden="0" customWidth="1"/>
    <x:col min="6" max="6" width="15" hidden="0" customWidth="1"/>
    <x:col min="7" max="7" width="22" hidden="0" customWidth="1"/>
    <x:col min="8" max="8" width="48" hidden="0" customWidth="1"/>
    <x:col min="9" max="9" width="38" hidden="0" customWidth="1"/>
  </x:cols>
  <x:sheetData>
    <x:row r="1" ht="30" customHeight="1">
      <x:c r="A1" s="78" t="str">
        <x:v>CARRINHO ROBÓTICO WALL-E — PLANILHA DE CUSTOS</x:v>
      </x:c>
      <x:c r="B1" s="78"/>
      <x:c r="C1" s="78"/>
      <x:c r="D1" s="78"/>
      <x:c r="E1" s="78"/>
      <x:c r="F1" s="78"/>
      <x:c r="G1" s="78"/>
      <x:c r="H1" s="78"/>
      <x:c r="I1" s="78"/>
    </x:row>
    <x:row r="2" ht="22" customHeight="1">
      <x:c r="A2" s="57" t="str">
        <x:v>Estimativa para o CP1 • entrega em 16/09/2026 • preços consultados em 26/08/2026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>
      <x:c r="A4" s="59" t="str">
        <x:v>Resumo</x:v>
      </x:c>
      <x:c r="B4" s="59" t="str">
        <x:v>Valor</x:v>
      </x:c>
      <x:c r="C4" s="58"/>
      <x:c r="D4" s="59" t="str">
        <x:v>Indicador</x:v>
      </x:c>
      <x:c r="E4" s="59" t="str">
        <x:v>Quantidade</x:v>
      </x:c>
      <x:c r="F4" s="58"/>
      <x:c r="G4" s="59" t="str">
        <x:v>Indicador</x:v>
      </x:c>
      <x:c r="H4" s="59" t="str">
        <x:v>Valor</x:v>
      </x:c>
      <x:c r="I4" s="58"/>
    </x:row>
    <x:row r="5">
      <x:c r="A5" s="60" t="str">
        <x:v>Total estimado</x:v>
      </x:c>
      <x:c r="B5" s="61" t="n">
        <x:f>SUM(F9:F22)</x:f>
        <x:v>327.225</x:v>
      </x:c>
      <x:c r="C5" s="58"/>
      <x:c r="D5" s="62" t="str">
        <x:v>Itens orçados</x:v>
      </x:c>
      <x:c r="E5" s="62" t="n">
        <x:f>COUNTA(B9:B22)</x:f>
        <x:v>14</x:v>
      </x:c>
      <x:c r="F5" s="58"/>
      <x:c r="G5" s="63" t="str">
        <x:v>Reserva recomendada (10%)</x:v>
      </x:c>
      <x:c r="H5" s="64" t="n">
        <x:f>B5*10%</x:f>
        <x:v>32.722500000000004</x:v>
      </x:c>
      <x:c r="I5" s="58"/>
    </x:row>
    <x:row r="6">
      <x:c r="A6" s="58"/>
      <x:c r="B6" s="58"/>
      <x:c r="C6" s="58"/>
      <x:c r="D6" s="58"/>
      <x:c r="E6" s="58"/>
      <x:c r="F6" s="58"/>
      <x:c r="G6" s="63" t="str">
        <x:v>Orçamento com reserva</x:v>
      </x:c>
      <x:c r="H6" s="64" t="n">
        <x:f>B5+H5</x:f>
        <x:v>359.94750000000005</x:v>
      </x:c>
      <x:c r="I6" s="58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</x:row>
    <x:row r="8" ht="34" customHeight="1">
      <x:c r="A8" s="65" t="str">
        <x:v>Categoria</x:v>
      </x:c>
      <x:c r="B8" s="66" t="str">
        <x:v>Item</x:v>
      </x:c>
      <x:c r="C8" s="66" t="str">
        <x:v>Especificação</x:v>
      </x:c>
      <x:c r="D8" s="66" t="str">
        <x:v>Quantidade</x:v>
      </x:c>
      <x:c r="E8" s="66" t="str">
        <x:v>Preço unitário</x:v>
      </x:c>
      <x:c r="F8" s="66" t="str">
        <x:v>Subtotal</x:v>
      </x:c>
      <x:c r="G8" s="66" t="str">
        <x:v>Situação</x:v>
      </x:c>
      <x:c r="H8" s="66" t="str">
        <x:v>Link da loja</x:v>
      </x:c>
      <x:c r="I8" s="67" t="str">
        <x:v>Observação</x:v>
      </x:c>
    </x:row>
    <x:row r="9" ht="42" customHeight="1">
      <x:c r="A9" s="68" t="str">
        <x:v>Eletrônica</x:v>
      </x:c>
      <x:c r="B9" s="68" t="str">
        <x:v>ESP32 DevKit</x:v>
      </x:c>
      <x:c r="C9" s="68" t="str">
        <x:v>Wi-Fi + Bluetooth</x:v>
      </x:c>
      <x:c r="D9" s="69" t="n">
        <x:v>1</x:v>
      </x:c>
      <x:c r="E9" s="70" t="n">
        <x:v>54.9</x:v>
      </x:c>
      <x:c r="F9" s="70" t="n">
        <x:f>D9*E9</x:f>
        <x:v>54.9</x:v>
      </x:c>
      <x:c r="G9" s="68" t="str">
        <x:v>Comprar/confirmar</x:v>
      </x:c>
      <x:c r="H9" s="68" t="str">
        <x:v>https://www.robocore.net/wifi/esp32-wifi-bluetooth</x:v>
      </x:c>
      <x:c r="I9" s="68" t="str">
        <x:v>Placa definitiva; confirmar modelo e pinagem</x:v>
      </x:c>
    </x:row>
    <x:row r="10" ht="42" customHeight="1">
      <x:c r="A10" s="71" t="str">
        <x:v>Eletrônica</x:v>
      </x:c>
      <x:c r="B10" s="71" t="str">
        <x:v>Driver TB6612FNG</x:v>
      </x:c>
      <x:c r="C10" s="71" t="str">
        <x:v>Ponte H dupla</x:v>
      </x:c>
      <x:c r="D10" s="72" t="n">
        <x:v>1</x:v>
      </x:c>
      <x:c r="E10" s="73" t="n">
        <x:v>29.9</x:v>
      </x:c>
      <x:c r="F10" s="73" t="n">
        <x:f>D10*E10</x:f>
        <x:v>29.9</x:v>
      </x:c>
      <x:c r="G10" s="71" t="str">
        <x:v>Comprar/confirmar</x:v>
      </x:c>
      <x:c r="H10" s="71" t="str">
        <x:v>https://lista.mercadolivre.com.br/tb6612fng</x:v>
      </x:c>
      <x:c r="I10" s="71" t="str">
        <x:v>Substitui o L298N usado no teste</x:v>
      </x:c>
    </x:row>
    <x:row r="11" ht="42" customHeight="1">
      <x:c r="A11" s="71" t="str">
        <x:v>Sensor</x:v>
      </x:c>
      <x:c r="B11" s="71" t="str">
        <x:v>HC-SR04</x:v>
      </x:c>
      <x:c r="C11" s="71" t="str">
        <x:v>Sensor ultrassônico 5 V</x:v>
      </x:c>
      <x:c r="D11" s="72" t="n">
        <x:v>1</x:v>
      </x:c>
      <x:c r="E11" s="73" t="n">
        <x:v>9.8</x:v>
      </x:c>
      <x:c r="F11" s="73" t="n">
        <x:f>D11*E11</x:f>
        <x:v>9.8</x:v>
      </x:c>
      <x:c r="G11" s="71" t="str">
        <x:v>Já testado</x:v>
      </x:c>
      <x:c r="H11" s="71" t="str">
        <x:v>https://www.robocore.net/produtos/sensor-de-distancia-ultrassonico-hc-sr04/</x:v>
      </x:c>
      <x:c r="I11" s="71" t="str">
        <x:v>Custo de reposição; proteger entrada Echo do ESP32</x:v>
      </x:c>
    </x:row>
    <x:row r="12" ht="42" customHeight="1">
      <x:c r="A12" s="71" t="str">
        <x:v>Mecânica</x:v>
      </x:c>
      <x:c r="B12" s="71" t="str">
        <x:v>Motor TT + roda 68 mm</x:v>
      </x:c>
      <x:c r="C12" s="71" t="str">
        <x:v>Motor DC 3–6 V com redução</x:v>
      </x:c>
      <x:c r="D12" s="72" t="n">
        <x:v>2</x:v>
      </x:c>
      <x:c r="E12" s="73" t="n">
        <x:v>18.9</x:v>
      </x:c>
      <x:c r="F12" s="73" t="n">
        <x:f>D12*E12</x:f>
        <x:v>37.8</x:v>
      </x:c>
      <x:c r="G12" s="71" t="str">
        <x:v>Já testado/confirmar</x:v>
      </x:c>
      <x:c r="H12" s="71" t="str">
        <x:v>https://www.mercadolivre.com.br/motor-dc-eletrico-36v-caixa-de-reducao-eixo-duplo--rodinha/up/MLBU770538214</x:v>
      </x:c>
      <x:c r="I12" s="71" t="str">
        <x:v>Duas unidades, uma por lado</x:v>
      </x:c>
    </x:row>
    <x:row r="13" ht="42" customHeight="1">
      <x:c r="A13" s="71" t="str">
        <x:v>Mecânica</x:v>
      </x:c>
      <x:c r="B13" s="71" t="str">
        <x:v>Roda caster</x:v>
      </x:c>
      <x:c r="C13" s="71" t="str">
        <x:v>Roda boba para chassi 2WD</x:v>
      </x:c>
      <x:c r="D13" s="72" t="n">
        <x:v>1</x:v>
      </x:c>
      <x:c r="E13" s="73" t="n">
        <x:v>12.9</x:v>
      </x:c>
      <x:c r="F13" s="73" t="n">
        <x:f>D13*E13</x:f>
        <x:v>12.9</x:v>
      </x:c>
      <x:c r="G13" s="71" t="str">
        <x:v>Comprar/confirmar</x:v>
      </x:c>
      <x:c r="H13" s="71" t="str">
        <x:v>https://lista.mercadolivre.com.br/roda-caster-robo</x:v>
      </x:c>
      <x:c r="I13" s="71" t="str">
        <x:v>Confirmar altura em relação às rodas motrizes</x:v>
      </x:c>
    </x:row>
    <x:row r="14" ht="42" customHeight="1">
      <x:c r="A14" s="71" t="str">
        <x:v>Alimentação</x:v>
      </x:c>
      <x:c r="B14" s="71" t="str">
        <x:v>Suporte para pilhas</x:v>
      </x:c>
      <x:c r="C14" s="71" t="str">
        <x:v>4×AA com chave liga/desliga</x:v>
      </x:c>
      <x:c r="D14" s="72" t="n">
        <x:v>1</x:v>
      </x:c>
      <x:c r="E14" s="73" t="n">
        <x:v>16.9</x:v>
      </x:c>
      <x:c r="F14" s="73" t="n">
        <x:f>D14*E14</x:f>
        <x:v>16.9</x:v>
      </x:c>
      <x:c r="G14" s="71" t="str">
        <x:v>Comprar/confirmar</x:v>
      </x:c>
      <x:c r="H14" s="71" t="str">
        <x:v>https://lista.mercadolivre.com.br/suporte-de-pilhas-para-protoboard</x:v>
      </x:c>
      <x:c r="I14" s="71" t="str">
        <x:v>Confirmar tensão e capacidade antes da compra</x:v>
      </x:c>
    </x:row>
    <x:row r="15" ht="42" customHeight="1">
      <x:c r="A15" s="71" t="str">
        <x:v>Alimentação</x:v>
      </x:c>
      <x:c r="B15" s="71" t="str">
        <x:v>Pilhas AA</x:v>
      </x:c>
      <x:c r="C15" s="71" t="str">
        <x:v>Alcalinas</x:v>
      </x:c>
      <x:c r="D15" s="72" t="n">
        <x:v>4</x:v>
      </x:c>
      <x:c r="E15" s="73" t="n">
        <x:v>4</x:v>
      </x:c>
      <x:c r="F15" s="73" t="n">
        <x:f>D15*E15</x:f>
        <x:v>16</x:v>
      </x:c>
      <x:c r="G15" s="71" t="str">
        <x:v>Comprar</x:v>
      </x:c>
      <x:c r="H15" s="71" t="str">
        <x:v>https://lista.mercadolivre.com.br/pilhas-aa-alcalinas</x:v>
      </x:c>
      <x:c r="I15" s="71" t="str">
        <x:v>Levar um segundo conjunto para contingência</x:v>
      </x:c>
    </x:row>
    <x:row r="16" ht="42" customHeight="1">
      <x:c r="A16" s="71" t="str">
        <x:v>Conexões</x:v>
      </x:c>
      <x:c r="B16" s="71" t="str">
        <x:v>Jumpers</x:v>
      </x:c>
      <x:c r="C16" s="71" t="str">
        <x:v>Kit 40 fios, 20 cm</x:v>
      </x:c>
      <x:c r="D16" s="72" t="n">
        <x:v>1</x:v>
      </x:c>
      <x:c r="E16" s="73" t="n">
        <x:v>19.9</x:v>
      </x:c>
      <x:c r="F16" s="73" t="n">
        <x:f>D16*E16</x:f>
        <x:v>19.9</x:v>
      </x:c>
      <x:c r="G16" s="71" t="str">
        <x:v>Já disponível/confirmar</x:v>
      </x:c>
      <x:c r="H16" s="71" t="str">
        <x:v>https://lista.mercadolivre.com.br/jumper-fio-40-20cm</x:v>
      </x:c>
      <x:c r="I16" s="71" t="str">
        <x:v>Tipos macho-macho e macho-fêmea</x:v>
      </x:c>
    </x:row>
    <x:row r="17" ht="42" customHeight="1">
      <x:c r="A17" s="71" t="str">
        <x:v>Conexões</x:v>
      </x:c>
      <x:c r="B17" s="71" t="str">
        <x:v>Protoboard ou placa perfurada</x:v>
      </x:c>
      <x:c r="C17" s="71" t="str">
        <x:v>Base para interligações</x:v>
      </x:c>
      <x:c r="D17" s="72" t="n">
        <x:v>1</x:v>
      </x:c>
      <x:c r="E17" s="73" t="n">
        <x:v>14.9</x:v>
      </x:c>
      <x:c r="F17" s="73" t="n">
        <x:f>D17*E17</x:f>
        <x:v>14.9</x:v>
      </x:c>
      <x:c r="G17" s="71" t="str">
        <x:v>Já disponível/confirmar</x:v>
      </x:c>
      <x:c r="H17" s="71" t="str">
        <x:v>https://lista.mercadolivre.com.br/protoboard-400-pontos</x:v>
      </x:c>
      <x:c r="I17" s="71" t="str">
        <x:v>Preferir placa perfurada na montagem final</x:v>
      </x:c>
    </x:row>
    <x:row r="18" ht="42" customHeight="1">
      <x:c r="A18" s="71" t="str">
        <x:v>Impressão 3D</x:v>
      </x:c>
      <x:c r="B18" s="71" t="str">
        <x:v>Filamento PLA alocado</x:v>
      </x:c>
      <x:c r="C18" s="71" t="str">
        <x:v>0,25 kg de um rolo de 1 kg</x:v>
      </x:c>
      <x:c r="D18" s="72" t="n">
        <x:v>0.25</x:v>
      </x:c>
      <x:c r="E18" s="73" t="n">
        <x:v>104.9</x:v>
      </x:c>
      <x:c r="F18" s="73" t="n">
        <x:f>D18*E18</x:f>
        <x:v>26.225</x:v>
      </x:c>
      <x:c r="G18" s="71" t="str">
        <x:v>Usar laboratório/comprar</x:v>
      </x:c>
      <x:c r="H18" s="71" t="str">
        <x:v>https://lista.mercadolivre.com.br/filamento-pla</x:v>
      </x:c>
      <x:c r="I18" s="71" t="str">
        <x:v>Custo proporcional; preço do rolo inteiro é R$ 104,90</x:v>
      </x:c>
    </x:row>
    <x:row r="19" ht="42" customHeight="1">
      <x:c r="A19" s="71" t="str">
        <x:v>Fixação</x:v>
      </x:c>
      <x:c r="B19" s="71" t="str">
        <x:v>Parafusos, porcas e espaçadores</x:v>
      </x:c>
      <x:c r="C19" s="71" t="str">
        <x:v>M2/M3 variados</x:v>
      </x:c>
      <x:c r="D19" s="72" t="n">
        <x:v>1</x:v>
      </x:c>
      <x:c r="E19" s="73" t="n">
        <x:v>18</x:v>
      </x:c>
      <x:c r="F19" s="73" t="n">
        <x:f>D19*E19</x:f>
        <x:v>18</x:v>
      </x:c>
      <x:c r="G19" s="71" t="str">
        <x:v>Comprar/separar</x:v>
      </x:c>
      <x:c r="H19" s="71" t="str">
        <x:v>https://lista.mercadolivre.com.br/kit-parafuso-m3-espacador</x:v>
      </x:c>
      <x:c r="I19" s="71" t="str">
        <x:v>Ajustar após revisão do modelo 3D</x:v>
      </x:c>
    </x:row>
    <x:row r="20" ht="42" customHeight="1">
      <x:c r="A20" s="71" t="str">
        <x:v>Carenagem</x:v>
      </x:c>
      <x:c r="B20" s="71" t="str">
        <x:v>Papel cartão/EVA e cola</x:v>
      </x:c>
      <x:c r="C20" s="71" t="str">
        <x:v>Acabamento visual WALL-E</x:v>
      </x:c>
      <x:c r="D20" s="72" t="n">
        <x:v>1</x:v>
      </x:c>
      <x:c r="E20" s="73" t="n">
        <x:v>30</x:v>
      </x:c>
      <x:c r="F20" s="73" t="n">
        <x:f>D20*E20</x:f>
        <x:v>30</x:v>
      </x:c>
      <x:c r="G20" s="71" t="str">
        <x:v>Comprar/separar</x:v>
      </x:c>
      <x:c r="H20" s="71" t="str">
        <x:v>https://lista.mercadolivre.com.br/papel-cartao-eva-cola</x:v>
      </x:c>
      <x:c r="I20" s="71" t="str">
        <x:v>Valor estimado conforme material escolhido</x:v>
      </x:c>
    </x:row>
    <x:row r="21" ht="42" customHeight="1">
      <x:c r="A21" s="71" t="str">
        <x:v>Acabamento</x:v>
      </x:c>
      <x:c r="B21" s="71" t="str">
        <x:v>Tinta e adesivos</x:v>
      </x:c>
      <x:c r="C21" s="71" t="str">
        <x:v>Cores e detalhes do personagem</x:v>
      </x:c>
      <x:c r="D21" s="72" t="n">
        <x:v>1</x:v>
      </x:c>
      <x:c r="E21" s="73" t="n">
        <x:v>25</x:v>
      </x:c>
      <x:c r="F21" s="73" t="n">
        <x:f>D21*E21</x:f>
        <x:v>25</x:v>
      </x:c>
      <x:c r="G21" s="71" t="str">
        <x:v>Opcional</x:v>
      </x:c>
      <x:c r="H21" s="71" t="str">
        <x:v>https://lista.mercadolivre.com.br/tinta-acrilica-artesanato</x:v>
      </x:c>
      <x:c r="I21" s="71" t="str">
        <x:v>Item Could; retirar se houver restrição de orçamento</x:v>
      </x:c>
    </x:row>
    <x:row r="22" ht="42" customHeight="1">
      <x:c r="A22" s="74" t="str">
        <x:v>Contingência</x:v>
      </x:c>
      <x:c r="B22" s="74" t="str">
        <x:v>Fita isolante e abraçadeiras</x:v>
      </x:c>
      <x:c r="C22" s="74" t="str">
        <x:v>Organização e isolamento</x:v>
      </x:c>
      <x:c r="D22" s="75" t="n">
        <x:v>1</x:v>
      </x:c>
      <x:c r="E22" s="76" t="n">
        <x:v>15</x:v>
      </x:c>
      <x:c r="F22" s="76" t="n">
        <x:f>D22*E22</x:f>
        <x:v>15</x:v>
      </x:c>
      <x:c r="G22" s="74" t="str">
        <x:v>Comprar/separar</x:v>
      </x:c>
      <x:c r="H22" s="74" t="str">
        <x:v>https://lista.mercadolivre.com.br/fita-isolante-abracadeira</x:v>
      </x:c>
      <x:c r="I22" s="74" t="str">
        <x:v>Não substituir conexões elétricas adequadas</x:v>
      </x:c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>
      <x:c r="A24" s="59" t="str">
        <x:v>Premissas e observações</x:v>
      </x:c>
      <x:c r="B24" s="59"/>
      <x:c r="C24" s="59"/>
      <x:c r="D24" s="59"/>
      <x:c r="E24" s="59"/>
      <x:c r="F24" s="59"/>
      <x:c r="G24" s="59"/>
      <x:c r="H24" s="59"/>
      <x:c r="I24" s="59"/>
    </x:row>
    <x:row r="25" ht="32" customHeight="1">
      <x:c r="A25" s="77" t="str">
        <x:v>• Valores são estimativas de reposição e não representam necessariamente o desembolso real, pois parte dos componentes já foi utilizada nos testes.</x:v>
      </x:c>
      <x:c r="B25" s="77"/>
      <x:c r="C25" s="77"/>
      <x:c r="D25" s="77"/>
      <x:c r="E25" s="77"/>
      <x:c r="F25" s="77"/>
      <x:c r="G25" s="77"/>
      <x:c r="H25" s="77"/>
      <x:c r="I25" s="77"/>
    </x:row>
    <x:row r="26" ht="32" customHeight="1">
      <x:c r="A26" s="77" t="str">
        <x:v>• Frete não incluído. Preços e disponibilidade podem mudar; confirmar antes da compra. O custo proporcional de PLA considera 250 g.</x:v>
      </x:c>
      <x:c r="B26" s="77"/>
      <x:c r="C26" s="77"/>
      <x:c r="D26" s="77"/>
      <x:c r="E26" s="77"/>
      <x:c r="F26" s="77"/>
      <x:c r="G26" s="77"/>
      <x:c r="H26" s="77"/>
      <x:c r="I26" s="77"/>
    </x:row>
    <x:row r="27" ht="32" customHeight="1">
      <x:c r="A27" s="77" t="str">
        <x:v>• O modelo definitivo das pilhas deve ser validado tecnicamente antes da compra. Links de busca foram usados quando o anúncio exato pode variar.</x:v>
      </x:c>
      <x:c r="B27" s="77"/>
      <x:c r="C27" s="77"/>
      <x:c r="D27" s="77"/>
      <x:c r="E27" s="77"/>
      <x:c r="F27" s="77"/>
      <x:c r="G27" s="77"/>
      <x:c r="H27" s="77"/>
      <x:c r="I27" s="77"/>
    </x:row>
  </x:sheetData>
  <x:mergeCells>
    <x:mergeCell ref="A1:I1"/>
    <x:mergeCell ref="A2:I2"/>
    <x:mergeCell ref="A24:I24"/>
    <x:mergeCell ref="A25:I25"/>
    <x:mergeCell ref="A26:I26"/>
    <x:mergeCell ref="A27:I27"/>
  </x:mergeCells>
  <x:conditionalFormatting sqref="G9:G22">
    <x:cfRule type="containsText" dxfId="0" priority="1" operator="containsText" text="Comprar"/>
    <x:cfRule type="containsText" dxfId="1" priority="2" operator="containsText" text="Já"/>
    <x:cfRule type="containsText" dxfId="2" priority="3" operator="containsText" text="Opcional"/>
  </x:conditionalFormatting>
  <x:dataValidations count="1">
    <x:dataValidation type="list" sqref="G9:G22">
      <x:formula1>"Já testado,Já disponível/confirmar,Já testado/confirmar,Comprar,Comprar/confirmar,Comprar/separar,Usar laboratório/comprar,Opcional"</x:formula1>
    </x:dataValidation>
  </x:dataValidations>
  <x:pageMargins left="0.7" right="0.7" top="0.75" bottom="0.75" header="0.3" footer="0.3"/>
  <x:legacyDrawing xmlns:r="http://schemas.openxmlformats.org/officeDocument/2006/relationships" r:id="Rf9fd4e2c5867401d"/>
</x:worksheet>
</file>